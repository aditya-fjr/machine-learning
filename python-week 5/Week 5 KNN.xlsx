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6FE21AA-614A-4CD1-BB03-E3C75749AE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Sheet1!$L$11:$P$31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7" i="1" l="1"/>
  <c r="J68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AM20" i="1"/>
  <c r="AM17" i="1"/>
  <c r="AM14" i="1"/>
  <c r="AM8" i="1"/>
  <c r="AM10" i="1"/>
  <c r="AM7" i="1"/>
  <c r="AM11" i="1"/>
  <c r="AM15" i="1"/>
  <c r="AM18" i="1"/>
  <c r="AM13" i="1"/>
  <c r="AM9" i="1"/>
  <c r="AM5" i="1"/>
  <c r="AM3" i="1"/>
  <c r="AM4" i="1"/>
  <c r="AM6" i="1"/>
  <c r="AM12" i="1"/>
  <c r="AM16" i="1"/>
  <c r="AM19" i="1"/>
  <c r="AM22" i="1"/>
  <c r="AM21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3" i="1"/>
  <c r="J17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31" i="1"/>
  <c r="P30" i="1"/>
  <c r="P28" i="1"/>
  <c r="P27" i="1"/>
  <c r="P22" i="1"/>
  <c r="P21" i="1"/>
  <c r="P12" i="1"/>
  <c r="P15" i="1"/>
  <c r="P14" i="1"/>
  <c r="P20" i="1"/>
  <c r="P29" i="1"/>
  <c r="P26" i="1"/>
  <c r="P23" i="1"/>
  <c r="P19" i="1"/>
  <c r="P16" i="1"/>
  <c r="P13" i="1"/>
  <c r="P17" i="1"/>
  <c r="P18" i="1"/>
  <c r="P24" i="1"/>
  <c r="P25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</calcChain>
</file>

<file path=xl/sharedStrings.xml><?xml version="1.0" encoding="utf-8"?>
<sst xmlns="http://schemas.openxmlformats.org/spreadsheetml/2006/main" count="243" uniqueCount="29">
  <si>
    <t>ID</t>
  </si>
  <si>
    <t>X1</t>
  </si>
  <si>
    <t>X2</t>
  </si>
  <si>
    <t>Y</t>
  </si>
  <si>
    <t>A</t>
  </si>
  <si>
    <t>B</t>
  </si>
  <si>
    <t>Cara Kerja KNN</t>
  </si>
  <si>
    <t xml:space="preserve">Titik baru </t>
  </si>
  <si>
    <t>X1 = 4</t>
  </si>
  <si>
    <t>X2 = 5</t>
  </si>
  <si>
    <t>Menggunakan jarak euclidean, untuk menghitung jarak antara titik baru (X1 = 4, X2 = 5) dari setiap titik data.</t>
  </si>
  <si>
    <t>Jarak dari (4,5)</t>
  </si>
  <si>
    <t>2. Pengukuran Jarak</t>
  </si>
  <si>
    <t>1. Persiapan Data</t>
  </si>
  <si>
    <t># Urutkan data berdasarkan jarak dari yang terkecil</t>
  </si>
  <si>
    <t># Tentukan 3 tetangga terdekat</t>
  </si>
  <si>
    <t>ID 14 = Jarak 2 = Kelas A</t>
  </si>
  <si>
    <t>ID = Jarak 2.236 = Kelas B</t>
  </si>
  <si>
    <t>ID 5 = Jarak 2.236 = Kelas B</t>
  </si>
  <si>
    <t>Mayoritas adalah B (2 suara B, 1 suara A)</t>
  </si>
  <si>
    <r>
      <t>Maka titik baru (X1 = 4, X2 = 5) akan diklasifikasikan ke kelas B berdasarkan algoritma</t>
    </r>
    <r>
      <rPr>
        <b/>
        <sz val="11"/>
        <color theme="1"/>
        <rFont val="Calibri"/>
        <family val="2"/>
        <scheme val="minor"/>
      </rPr>
      <t xml:space="preserve"> KNN </t>
    </r>
    <r>
      <rPr>
        <sz val="11"/>
        <color theme="1"/>
        <rFont val="Calibri"/>
        <family val="2"/>
        <scheme val="minor"/>
      </rPr>
      <t xml:space="preserve">dengan </t>
    </r>
    <r>
      <rPr>
        <b/>
        <sz val="11"/>
        <color theme="1"/>
        <rFont val="Calibri"/>
        <family val="2"/>
        <scheme val="minor"/>
      </rPr>
      <t>K = 3</t>
    </r>
  </si>
  <si>
    <t>3 - 6 Pemilihan Jumlah Tetangga (K = 3) dan identifikasi tetangga terdekat</t>
  </si>
  <si>
    <t>4. Visualisasi Persebaran Data (BEFORE)</t>
  </si>
  <si>
    <t>Visualisasi Persebaran Data Setelah Menggunakan Model KNN (AFTER)</t>
  </si>
  <si>
    <t>mayoritas A berdasarkan algoritma KNN dengan K = 5</t>
  </si>
  <si>
    <t>yang di warnai biru</t>
  </si>
  <si>
    <t>dengan cara manhattan</t>
  </si>
  <si>
    <t>Jarak dari (6,5)</t>
  </si>
  <si>
    <t>data 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</si>
</sst>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36"/>
      <color rgb="FF00206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20"/>
      <color theme="1"/>
      <name val="Calibri"/>
      <family val="2"/>
      <scheme val="minor"/>
    </font>
    <font>
      <sz val="36"/>
      <color theme="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9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0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(Sheet1!$B$17:$B$19,Sheet1!$B$23:$B$24,Sheet1!$B$26,Sheet1!$B$29:$B$30,Sheet1!$B$33:$B$34,Sheet1!$B$36)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(Sheet1!$C$17:$C$19,Sheet1!$C$23:$C$24,Sheet1!$C$26,Sheet1!$C$29:$C$30,Sheet1!$C$33:$C$34)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0F-48AE-99E6-44467F5F303C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(Sheet1!$B$20:$B$22,Sheet1!$B$25,Sheet1!$B$27:$B$28,Sheet1!$B$31:$B$32)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(Sheet1!$C$20:$C$22,Sheet1!$C$25,Sheet1!$C$27:$C$28,Sheet1!$C$31:$C$32)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0F-48AE-99E6-44467F5F303C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840F-48AE-99E6-44467F5F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3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(Sheet1!$M$48,Sheet1!$M$51,Sheet1!$M$54:$M$55,Sheet1!$M$59:$M$61,Sheet1!$M$63:$M$65)</c:f>
              <c:numCache>
                <c:formatCode>General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8</c:v>
                </c:pt>
                <c:pt idx="9">
                  <c:v>10</c:v>
                </c:pt>
              </c:numCache>
            </c:numRef>
          </c:xVal>
          <c:yVal>
            <c:numRef>
              <c:f>(Sheet1!$N$48,Sheet1!$N$51,Sheet1!$N$54:$N$55,Sheet1!$N$59:$N$61,Sheet1!$N$63:$N$65)</c:f>
              <c:numCache>
                <c:formatCode>General</c:formatCode>
                <c:ptCount val="10"/>
                <c:pt idx="0">
                  <c:v>7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06-460C-82F0-5A8FC3748A73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(Sheet1!$M$49:$M$50,Sheet1!$M$52:$M$53,Sheet1!$M$56:$M$58)</c:f>
              <c:numCache>
                <c:formatCode>General</c:formatCode>
                <c:ptCount val="7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4</c:v>
                </c:pt>
                <c:pt idx="4">
                  <c:v>1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(Sheet1!$N$49:$N$50,Sheet1!$N$52:$N$53,Sheet1!$N$56:$N$58)</c:f>
              <c:numCache>
                <c:formatCode>General</c:formatCode>
                <c:ptCount val="7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06-460C-82F0-5A8FC3748A73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406-460C-82F0-5A8FC3748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95250</xdr:rowOff>
    </xdr:from>
    <xdr:to>
      <xdr:col>8</xdr:col>
      <xdr:colOff>427374</xdr:colOff>
      <xdr:row>9</xdr:row>
      <xdr:rowOff>119554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2781300"/>
          <a:ext cx="3448531" cy="419158"/>
        </a:xfrm>
        <a:prstGeom prst="rect">
          <a:avLst/>
        </a:prstGeom>
      </xdr:spPr>
    </xdr:pic>
    <xdr:clientData/>
  </xdr:twoCellAnchor>
  <xdr:twoCellAnchor>
    <xdr:from>
      <xdr:col>20</xdr:col>
      <xdr:colOff>13855</xdr:colOff>
      <xdr:row>26</xdr:row>
      <xdr:rowOff>124692</xdr:rowOff>
    </xdr:from>
    <xdr:to>
      <xdr:col>27</xdr:col>
      <xdr:colOff>25617</xdr:colOff>
      <xdr:row>38</xdr:row>
      <xdr:rowOff>27709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604632</xdr:colOff>
      <xdr:row>67</xdr:row>
      <xdr:rowOff>79439</xdr:rowOff>
    </xdr:from>
    <xdr:to>
      <xdr:col>17</xdr:col>
      <xdr:colOff>522710</xdr:colOff>
      <xdr:row>82</xdr:row>
      <xdr:rowOff>155638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775253</xdr:colOff>
      <xdr:row>71</xdr:row>
      <xdr:rowOff>28532</xdr:rowOff>
    </xdr:from>
    <xdr:to>
      <xdr:col>13</xdr:col>
      <xdr:colOff>332209</xdr:colOff>
      <xdr:row>79</xdr:row>
      <xdr:rowOff>327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480853" y="14575805"/>
          <a:ext cx="1136374" cy="1412667"/>
        </a:xfrm>
        <a:custGeom>
          <a:avLst/>
          <a:gdLst>
            <a:gd name="connsiteX0" fmla="*/ 0 w 1143000"/>
            <a:gd name="connsiteY0" fmla="*/ 289943 h 1127264"/>
            <a:gd name="connsiteX1" fmla="*/ 8283 w 1143000"/>
            <a:gd name="connsiteY1" fmla="*/ 331356 h 1127264"/>
            <a:gd name="connsiteX2" fmla="*/ 24848 w 1143000"/>
            <a:gd name="connsiteY2" fmla="*/ 488726 h 1127264"/>
            <a:gd name="connsiteX3" fmla="*/ 41413 w 1143000"/>
            <a:gd name="connsiteY3" fmla="*/ 513574 h 1127264"/>
            <a:gd name="connsiteX4" fmla="*/ 49696 w 1143000"/>
            <a:gd name="connsiteY4" fmla="*/ 546704 h 1127264"/>
            <a:gd name="connsiteX5" fmla="*/ 91109 w 1143000"/>
            <a:gd name="connsiteY5" fmla="*/ 604682 h 1127264"/>
            <a:gd name="connsiteX6" fmla="*/ 124239 w 1143000"/>
            <a:gd name="connsiteY6" fmla="*/ 654378 h 1127264"/>
            <a:gd name="connsiteX7" fmla="*/ 140805 w 1143000"/>
            <a:gd name="connsiteY7" fmla="*/ 679226 h 1127264"/>
            <a:gd name="connsiteX8" fmla="*/ 165652 w 1143000"/>
            <a:gd name="connsiteY8" fmla="*/ 695791 h 1127264"/>
            <a:gd name="connsiteX9" fmla="*/ 190500 w 1143000"/>
            <a:gd name="connsiteY9" fmla="*/ 720639 h 1127264"/>
            <a:gd name="connsiteX10" fmla="*/ 198783 w 1143000"/>
            <a:gd name="connsiteY10" fmla="*/ 745487 h 1127264"/>
            <a:gd name="connsiteX11" fmla="*/ 223631 w 1143000"/>
            <a:gd name="connsiteY11" fmla="*/ 762052 h 1127264"/>
            <a:gd name="connsiteX12" fmla="*/ 248479 w 1143000"/>
            <a:gd name="connsiteY12" fmla="*/ 786900 h 1127264"/>
            <a:gd name="connsiteX13" fmla="*/ 298174 w 1143000"/>
            <a:gd name="connsiteY13" fmla="*/ 853161 h 1127264"/>
            <a:gd name="connsiteX14" fmla="*/ 347870 w 1143000"/>
            <a:gd name="connsiteY14" fmla="*/ 886291 h 1127264"/>
            <a:gd name="connsiteX15" fmla="*/ 422413 w 1143000"/>
            <a:gd name="connsiteY15" fmla="*/ 927704 h 1127264"/>
            <a:gd name="connsiteX16" fmla="*/ 447261 w 1143000"/>
            <a:gd name="connsiteY16" fmla="*/ 935987 h 1127264"/>
            <a:gd name="connsiteX17" fmla="*/ 496957 w 1143000"/>
            <a:gd name="connsiteY17" fmla="*/ 944269 h 1127264"/>
            <a:gd name="connsiteX18" fmla="*/ 538370 w 1143000"/>
            <a:gd name="connsiteY18" fmla="*/ 969117 h 1127264"/>
            <a:gd name="connsiteX19" fmla="*/ 679174 w 1143000"/>
            <a:gd name="connsiteY19" fmla="*/ 993965 h 1127264"/>
            <a:gd name="connsiteX20" fmla="*/ 712305 w 1143000"/>
            <a:gd name="connsiteY20" fmla="*/ 1010530 h 1127264"/>
            <a:gd name="connsiteX21" fmla="*/ 770283 w 1143000"/>
            <a:gd name="connsiteY21" fmla="*/ 1027095 h 1127264"/>
            <a:gd name="connsiteX22" fmla="*/ 819979 w 1143000"/>
            <a:gd name="connsiteY22" fmla="*/ 1043661 h 1127264"/>
            <a:gd name="connsiteX23" fmla="*/ 844826 w 1143000"/>
            <a:gd name="connsiteY23" fmla="*/ 1051943 h 1127264"/>
            <a:gd name="connsiteX24" fmla="*/ 869674 w 1143000"/>
            <a:gd name="connsiteY24" fmla="*/ 1076791 h 1127264"/>
            <a:gd name="connsiteX25" fmla="*/ 894522 w 1143000"/>
            <a:gd name="connsiteY25" fmla="*/ 1085074 h 1127264"/>
            <a:gd name="connsiteX26" fmla="*/ 935935 w 1143000"/>
            <a:gd name="connsiteY26" fmla="*/ 1126487 h 1127264"/>
            <a:gd name="connsiteX27" fmla="*/ 1109870 w 1143000"/>
            <a:gd name="connsiteY27" fmla="*/ 1101639 h 1127264"/>
            <a:gd name="connsiteX28" fmla="*/ 1126435 w 1143000"/>
            <a:gd name="connsiteY28" fmla="*/ 1076791 h 1127264"/>
            <a:gd name="connsiteX29" fmla="*/ 1143000 w 1143000"/>
            <a:gd name="connsiteY29" fmla="*/ 1035378 h 1127264"/>
            <a:gd name="connsiteX30" fmla="*/ 1134718 w 1143000"/>
            <a:gd name="connsiteY30" fmla="*/ 878008 h 1127264"/>
            <a:gd name="connsiteX31" fmla="*/ 1109870 w 1143000"/>
            <a:gd name="connsiteY31" fmla="*/ 795182 h 1127264"/>
            <a:gd name="connsiteX32" fmla="*/ 1101587 w 1143000"/>
            <a:gd name="connsiteY32" fmla="*/ 753769 h 1127264"/>
            <a:gd name="connsiteX33" fmla="*/ 1085022 w 1143000"/>
            <a:gd name="connsiteY33" fmla="*/ 720639 h 1127264"/>
            <a:gd name="connsiteX34" fmla="*/ 1076739 w 1143000"/>
            <a:gd name="connsiteY34" fmla="*/ 695791 h 1127264"/>
            <a:gd name="connsiteX35" fmla="*/ 1060174 w 1143000"/>
            <a:gd name="connsiteY35" fmla="*/ 662661 h 1127264"/>
            <a:gd name="connsiteX36" fmla="*/ 1051892 w 1143000"/>
            <a:gd name="connsiteY36" fmla="*/ 637813 h 1127264"/>
            <a:gd name="connsiteX37" fmla="*/ 1035326 w 1143000"/>
            <a:gd name="connsiteY37" fmla="*/ 604682 h 1127264"/>
            <a:gd name="connsiteX38" fmla="*/ 1027044 w 1143000"/>
            <a:gd name="connsiteY38" fmla="*/ 579834 h 1127264"/>
            <a:gd name="connsiteX39" fmla="*/ 1010479 w 1143000"/>
            <a:gd name="connsiteY39" fmla="*/ 554987 h 1127264"/>
            <a:gd name="connsiteX40" fmla="*/ 1002196 w 1143000"/>
            <a:gd name="connsiteY40" fmla="*/ 530139 h 1127264"/>
            <a:gd name="connsiteX41" fmla="*/ 977348 w 1143000"/>
            <a:gd name="connsiteY41" fmla="*/ 497008 h 1127264"/>
            <a:gd name="connsiteX42" fmla="*/ 952500 w 1143000"/>
            <a:gd name="connsiteY42" fmla="*/ 455595 h 1127264"/>
            <a:gd name="connsiteX43" fmla="*/ 944218 w 1143000"/>
            <a:gd name="connsiteY43" fmla="*/ 430747 h 1127264"/>
            <a:gd name="connsiteX44" fmla="*/ 927652 w 1143000"/>
            <a:gd name="connsiteY44" fmla="*/ 405900 h 1127264"/>
            <a:gd name="connsiteX45" fmla="*/ 919370 w 1143000"/>
            <a:gd name="connsiteY45" fmla="*/ 364487 h 1127264"/>
            <a:gd name="connsiteX46" fmla="*/ 894522 w 1143000"/>
            <a:gd name="connsiteY46" fmla="*/ 314791 h 1127264"/>
            <a:gd name="connsiteX47" fmla="*/ 886239 w 1143000"/>
            <a:gd name="connsiteY47" fmla="*/ 265095 h 1127264"/>
            <a:gd name="connsiteX48" fmla="*/ 869674 w 1143000"/>
            <a:gd name="connsiteY48" fmla="*/ 207117 h 1127264"/>
            <a:gd name="connsiteX49" fmla="*/ 836544 w 1143000"/>
            <a:gd name="connsiteY49" fmla="*/ 99443 h 1127264"/>
            <a:gd name="connsiteX50" fmla="*/ 828261 w 1143000"/>
            <a:gd name="connsiteY50" fmla="*/ 74595 h 1127264"/>
            <a:gd name="connsiteX51" fmla="*/ 753718 w 1143000"/>
            <a:gd name="connsiteY51" fmla="*/ 33182 h 1127264"/>
            <a:gd name="connsiteX52" fmla="*/ 704022 w 1143000"/>
            <a:gd name="connsiteY52" fmla="*/ 52 h 1127264"/>
            <a:gd name="connsiteX53" fmla="*/ 571500 w 1143000"/>
            <a:gd name="connsiteY53" fmla="*/ 16617 h 1127264"/>
            <a:gd name="connsiteX54" fmla="*/ 546652 w 1143000"/>
            <a:gd name="connsiteY54" fmla="*/ 33182 h 1127264"/>
            <a:gd name="connsiteX55" fmla="*/ 513522 w 1143000"/>
            <a:gd name="connsiteY55" fmla="*/ 49747 h 1127264"/>
            <a:gd name="connsiteX56" fmla="*/ 463826 w 1143000"/>
            <a:gd name="connsiteY56" fmla="*/ 99443 h 1127264"/>
            <a:gd name="connsiteX57" fmla="*/ 455544 w 1143000"/>
            <a:gd name="connsiteY57" fmla="*/ 124291 h 1127264"/>
            <a:gd name="connsiteX58" fmla="*/ 447261 w 1143000"/>
            <a:gd name="connsiteY58" fmla="*/ 248530 h 1127264"/>
            <a:gd name="connsiteX59" fmla="*/ 414131 w 1143000"/>
            <a:gd name="connsiteY59" fmla="*/ 265095 h 1127264"/>
            <a:gd name="connsiteX60" fmla="*/ 256761 w 1143000"/>
            <a:gd name="connsiteY60" fmla="*/ 273378 h 1127264"/>
            <a:gd name="connsiteX61" fmla="*/ 215348 w 1143000"/>
            <a:gd name="connsiteY61" fmla="*/ 223682 h 1127264"/>
            <a:gd name="connsiteX62" fmla="*/ 173935 w 1143000"/>
            <a:gd name="connsiteY62" fmla="*/ 215400 h 1127264"/>
            <a:gd name="connsiteX63" fmla="*/ 115957 w 1143000"/>
            <a:gd name="connsiteY63" fmla="*/ 207117 h 1127264"/>
            <a:gd name="connsiteX64" fmla="*/ 8283 w 1143000"/>
            <a:gd name="connsiteY64" fmla="*/ 256813 h 1127264"/>
            <a:gd name="connsiteX65" fmla="*/ 0 w 1143000"/>
            <a:gd name="connsiteY65" fmla="*/ 289943 h 112726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</a:cxnLst>
          <a:rect l="l" t="t" r="r" b="b"/>
          <a:pathLst>
            <a:path w="1143000" h="1127264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68"/>
  <sheetViews>
    <sheetView tabSelected="1" zoomScale="55" zoomScaleNormal="55" workbookViewId="0">
      <selection activeCell="V53" sqref="V53"/>
    </sheetView>
  </sheetViews>
  <sheetFormatPr defaultRowHeight="14.4" x14ac:dyDescent="0.3"/>
  <cols>
    <col min="12" max="12" width="14.109375" customWidth="1"/>
    <col min="19" max="19" width="14.109375" customWidth="1"/>
  </cols>
  <sheetData>
    <row r="2" spans="1:39" ht="46.2" x14ac:dyDescent="0.85">
      <c r="A2" s="6" t="s">
        <v>7</v>
      </c>
      <c r="D2" s="15" t="s">
        <v>6</v>
      </c>
      <c r="E2" s="15"/>
      <c r="F2" s="15"/>
      <c r="G2" s="15"/>
      <c r="H2" s="15"/>
      <c r="K2" s="16" t="s">
        <v>21</v>
      </c>
      <c r="L2" s="16"/>
      <c r="M2" s="16"/>
      <c r="N2" s="16"/>
      <c r="O2" s="16"/>
      <c r="AD2" s="22" t="s">
        <v>0</v>
      </c>
      <c r="AE2" s="22" t="s">
        <v>1</v>
      </c>
      <c r="AF2" s="22" t="s">
        <v>2</v>
      </c>
      <c r="AG2" s="22" t="s">
        <v>3</v>
      </c>
      <c r="AH2" s="22" t="s">
        <v>11</v>
      </c>
      <c r="AI2" s="27" t="s">
        <v>0</v>
      </c>
      <c r="AJ2" s="27" t="s">
        <v>1</v>
      </c>
      <c r="AK2" s="27" t="s">
        <v>2</v>
      </c>
      <c r="AL2" s="27" t="s">
        <v>3</v>
      </c>
      <c r="AM2" s="27" t="s">
        <v>11</v>
      </c>
    </row>
    <row r="3" spans="1:39" x14ac:dyDescent="0.3">
      <c r="A3" s="7" t="s">
        <v>8</v>
      </c>
      <c r="K3" s="16"/>
      <c r="L3" s="16"/>
      <c r="M3" s="16"/>
      <c r="N3" s="16"/>
      <c r="O3" s="16"/>
      <c r="U3" s="13" t="s">
        <v>22</v>
      </c>
      <c r="V3" s="13"/>
      <c r="W3" s="13"/>
      <c r="X3" s="13"/>
      <c r="AD3" s="23">
        <v>1</v>
      </c>
      <c r="AE3" s="23">
        <v>1</v>
      </c>
      <c r="AF3" s="23">
        <v>1</v>
      </c>
      <c r="AG3" s="23" t="s">
        <v>4</v>
      </c>
      <c r="AH3" s="24">
        <f>SQRT((AE3-5)^2+(AF3-6)^2)</f>
        <v>6.4031242374328485</v>
      </c>
      <c r="AI3" s="10">
        <v>14</v>
      </c>
      <c r="AJ3" s="10">
        <v>4</v>
      </c>
      <c r="AK3" s="10">
        <v>7</v>
      </c>
      <c r="AL3" s="10" t="s">
        <v>4</v>
      </c>
      <c r="AM3" s="11">
        <f>SQRT((AJ3-5)^2+(AK3-6)^2)</f>
        <v>1.4142135623730951</v>
      </c>
    </row>
    <row r="4" spans="1:39" x14ac:dyDescent="0.3">
      <c r="A4" s="7" t="s">
        <v>9</v>
      </c>
      <c r="K4" t="s">
        <v>14</v>
      </c>
      <c r="AD4" s="23">
        <v>2</v>
      </c>
      <c r="AE4" s="23">
        <v>2</v>
      </c>
      <c r="AF4" s="23">
        <v>1</v>
      </c>
      <c r="AG4" s="23" t="s">
        <v>4</v>
      </c>
      <c r="AH4" s="24">
        <f t="shared" ref="AH4:AH22" si="0">SQRT((AE4-5)^2+(AF4-6)^2)</f>
        <v>5.8309518948453007</v>
      </c>
      <c r="AI4" s="10">
        <v>15</v>
      </c>
      <c r="AJ4" s="10">
        <v>5</v>
      </c>
      <c r="AK4" s="10">
        <v>8</v>
      </c>
      <c r="AL4" s="10" t="s">
        <v>5</v>
      </c>
      <c r="AM4" s="11">
        <f>SQRT((AJ4-5)^2+(AK4-6)^2)</f>
        <v>2</v>
      </c>
    </row>
    <row r="5" spans="1:39" x14ac:dyDescent="0.3">
      <c r="D5" s="13" t="s">
        <v>12</v>
      </c>
      <c r="E5" s="13"/>
      <c r="K5" t="s">
        <v>15</v>
      </c>
      <c r="U5" s="1" t="s">
        <v>0</v>
      </c>
      <c r="V5" s="1" t="s">
        <v>1</v>
      </c>
      <c r="W5" s="1" t="s">
        <v>2</v>
      </c>
      <c r="X5" s="1" t="s">
        <v>3</v>
      </c>
      <c r="AD5" s="23">
        <v>3</v>
      </c>
      <c r="AE5" s="23">
        <v>3</v>
      </c>
      <c r="AF5" s="23">
        <v>2</v>
      </c>
      <c r="AG5" s="23" t="s">
        <v>4</v>
      </c>
      <c r="AH5" s="24">
        <f t="shared" si="0"/>
        <v>4.4721359549995796</v>
      </c>
      <c r="AI5" s="10">
        <v>13</v>
      </c>
      <c r="AJ5" s="10">
        <v>3</v>
      </c>
      <c r="AK5" s="10">
        <v>7</v>
      </c>
      <c r="AL5" s="10" t="s">
        <v>4</v>
      </c>
      <c r="AM5" s="11">
        <f>SQRT((AJ5-5)^2+(AK5-6)^2)</f>
        <v>2.2360679774997898</v>
      </c>
    </row>
    <row r="6" spans="1:39" x14ac:dyDescent="0.3">
      <c r="D6" s="12" t="s">
        <v>10</v>
      </c>
      <c r="E6" s="12"/>
      <c r="F6" s="12"/>
      <c r="G6" s="12"/>
      <c r="H6" s="12"/>
      <c r="I6" s="12"/>
      <c r="K6" t="s">
        <v>16</v>
      </c>
      <c r="U6" s="2">
        <v>1</v>
      </c>
      <c r="V6" s="2">
        <v>1</v>
      </c>
      <c r="W6" s="2">
        <v>1</v>
      </c>
      <c r="X6" s="2" t="s">
        <v>4</v>
      </c>
      <c r="AD6" s="23">
        <v>4</v>
      </c>
      <c r="AE6" s="23">
        <v>4</v>
      </c>
      <c r="AF6" s="23">
        <v>2</v>
      </c>
      <c r="AG6" s="23" t="s">
        <v>5</v>
      </c>
      <c r="AH6" s="24">
        <f t="shared" si="0"/>
        <v>4.1231056256176606</v>
      </c>
      <c r="AI6" s="10">
        <v>16</v>
      </c>
      <c r="AJ6" s="10">
        <v>6</v>
      </c>
      <c r="AK6" s="10">
        <v>8</v>
      </c>
      <c r="AL6" s="10" t="s">
        <v>5</v>
      </c>
      <c r="AM6" s="11">
        <f>SQRT((AJ6-5)^2+(AK6-6)^2)</f>
        <v>2.2360679774997898</v>
      </c>
    </row>
    <row r="7" spans="1:39" x14ac:dyDescent="0.3">
      <c r="D7" s="12"/>
      <c r="E7" s="12"/>
      <c r="F7" s="12"/>
      <c r="G7" s="12"/>
      <c r="H7" s="12"/>
      <c r="I7" s="12"/>
      <c r="K7" t="s">
        <v>18</v>
      </c>
      <c r="N7" t="s">
        <v>19</v>
      </c>
      <c r="U7" s="2">
        <v>2</v>
      </c>
      <c r="V7" s="2">
        <v>2</v>
      </c>
      <c r="W7" s="2">
        <v>1</v>
      </c>
      <c r="X7" s="2" t="s">
        <v>4</v>
      </c>
      <c r="AD7" s="23">
        <v>5</v>
      </c>
      <c r="AE7" s="23">
        <v>5</v>
      </c>
      <c r="AF7" s="23">
        <v>3</v>
      </c>
      <c r="AG7" s="23" t="s">
        <v>5</v>
      </c>
      <c r="AH7" s="24">
        <f t="shared" si="0"/>
        <v>3</v>
      </c>
      <c r="AI7" s="10">
        <v>7</v>
      </c>
      <c r="AJ7" s="10">
        <v>7</v>
      </c>
      <c r="AK7" s="10">
        <v>4</v>
      </c>
      <c r="AL7" s="10" t="s">
        <v>4</v>
      </c>
      <c r="AM7" s="11">
        <f>SQRT((AJ7-5)^2+(AK7-6)^2)</f>
        <v>2.8284271247461903</v>
      </c>
    </row>
    <row r="8" spans="1:39" x14ac:dyDescent="0.3">
      <c r="D8" s="4"/>
      <c r="K8" t="s">
        <v>17</v>
      </c>
      <c r="N8" s="12" t="s">
        <v>20</v>
      </c>
      <c r="O8" s="12"/>
      <c r="P8" s="12"/>
      <c r="Q8" s="12"/>
      <c r="R8" s="12"/>
      <c r="S8" s="12"/>
      <c r="U8" s="2">
        <v>3</v>
      </c>
      <c r="V8" s="2">
        <v>3</v>
      </c>
      <c r="W8" s="2">
        <v>2</v>
      </c>
      <c r="X8" s="2" t="s">
        <v>4</v>
      </c>
      <c r="AD8" s="23">
        <v>6</v>
      </c>
      <c r="AE8" s="23">
        <v>6</v>
      </c>
      <c r="AF8" s="23">
        <v>3</v>
      </c>
      <c r="AG8" s="23" t="s">
        <v>5</v>
      </c>
      <c r="AH8" s="24">
        <f t="shared" si="0"/>
        <v>3.1622776601683795</v>
      </c>
      <c r="AI8" s="25">
        <v>5</v>
      </c>
      <c r="AJ8" s="25">
        <v>5</v>
      </c>
      <c r="AK8" s="25">
        <v>3</v>
      </c>
      <c r="AL8" s="25" t="s">
        <v>5</v>
      </c>
      <c r="AM8" s="26">
        <f>SQRT((AJ8-5)^2+(AK8-6)^2)</f>
        <v>3</v>
      </c>
    </row>
    <row r="9" spans="1:39" ht="15" customHeight="1" x14ac:dyDescent="0.3">
      <c r="N9" s="12"/>
      <c r="O9" s="12"/>
      <c r="P9" s="12"/>
      <c r="Q9" s="12"/>
      <c r="R9" s="12"/>
      <c r="S9" s="12"/>
      <c r="U9" s="2">
        <v>4</v>
      </c>
      <c r="V9" s="2">
        <v>4</v>
      </c>
      <c r="W9" s="2">
        <v>2</v>
      </c>
      <c r="X9" s="2" t="s">
        <v>5</v>
      </c>
      <c r="AD9" s="23">
        <v>7</v>
      </c>
      <c r="AE9" s="23">
        <v>7</v>
      </c>
      <c r="AF9" s="23">
        <v>4</v>
      </c>
      <c r="AG9" s="23" t="s">
        <v>4</v>
      </c>
      <c r="AH9" s="24">
        <f t="shared" si="0"/>
        <v>2.8284271247461903</v>
      </c>
      <c r="AI9" s="25">
        <v>12</v>
      </c>
      <c r="AJ9" s="25">
        <v>2</v>
      </c>
      <c r="AK9" s="25">
        <v>6</v>
      </c>
      <c r="AL9" s="25" t="s">
        <v>5</v>
      </c>
      <c r="AM9" s="26">
        <f>SQRT((AJ9-5)^2+(AK9-6)^2)</f>
        <v>3</v>
      </c>
    </row>
    <row r="10" spans="1:39" x14ac:dyDescent="0.3">
      <c r="U10" s="2">
        <v>5</v>
      </c>
      <c r="V10" s="2">
        <v>5</v>
      </c>
      <c r="W10" s="2">
        <v>3</v>
      </c>
      <c r="X10" s="2" t="s">
        <v>5</v>
      </c>
      <c r="AD10" s="23">
        <v>8</v>
      </c>
      <c r="AE10" s="23">
        <v>8</v>
      </c>
      <c r="AF10" s="23">
        <v>4</v>
      </c>
      <c r="AG10" s="23" t="s">
        <v>4</v>
      </c>
      <c r="AH10" s="24">
        <f t="shared" si="0"/>
        <v>3.6055512754639891</v>
      </c>
      <c r="AI10" s="25">
        <v>6</v>
      </c>
      <c r="AJ10" s="25">
        <v>6</v>
      </c>
      <c r="AK10" s="25">
        <v>3</v>
      </c>
      <c r="AL10" s="25" t="s">
        <v>5</v>
      </c>
      <c r="AM10" s="26">
        <f>SQRT((AJ10-5)^2+(AK10-6)^2)</f>
        <v>3.1622776601683795</v>
      </c>
    </row>
    <row r="11" spans="1:39" ht="28.8" x14ac:dyDescent="0.3">
      <c r="L11" s="1" t="s">
        <v>0</v>
      </c>
      <c r="M11" s="1" t="s">
        <v>1</v>
      </c>
      <c r="N11" s="1" t="s">
        <v>2</v>
      </c>
      <c r="O11" s="1" t="s">
        <v>3</v>
      </c>
      <c r="P11" s="1" t="s">
        <v>11</v>
      </c>
      <c r="U11" s="2">
        <v>6</v>
      </c>
      <c r="V11" s="2">
        <v>6</v>
      </c>
      <c r="W11" s="2">
        <v>3</v>
      </c>
      <c r="X11" s="2" t="s">
        <v>5</v>
      </c>
      <c r="AD11" s="23">
        <v>9</v>
      </c>
      <c r="AE11" s="23">
        <v>9</v>
      </c>
      <c r="AF11" s="23">
        <v>5</v>
      </c>
      <c r="AG11" s="23" t="s">
        <v>5</v>
      </c>
      <c r="AH11" s="24">
        <f t="shared" si="0"/>
        <v>4.1231056256176606</v>
      </c>
      <c r="AI11" s="25">
        <v>8</v>
      </c>
      <c r="AJ11" s="25">
        <v>8</v>
      </c>
      <c r="AK11" s="25">
        <v>4</v>
      </c>
      <c r="AL11" s="25" t="s">
        <v>4</v>
      </c>
      <c r="AM11" s="26">
        <f>SQRT((AJ11-5)^2+(AK11-6)^2)</f>
        <v>3.6055512754639891</v>
      </c>
    </row>
    <row r="12" spans="1:39" x14ac:dyDescent="0.3">
      <c r="L12" s="8">
        <v>14</v>
      </c>
      <c r="M12" s="8">
        <v>4</v>
      </c>
      <c r="N12" s="8">
        <v>7</v>
      </c>
      <c r="O12" s="8" t="s">
        <v>4</v>
      </c>
      <c r="P12" s="9">
        <f t="shared" ref="P12:P31" si="1">SQRT((M12-4)^2+(N12-5)^2)</f>
        <v>2</v>
      </c>
      <c r="U12" s="2">
        <v>7</v>
      </c>
      <c r="V12" s="2">
        <v>7</v>
      </c>
      <c r="W12" s="2">
        <v>4</v>
      </c>
      <c r="X12" s="2" t="s">
        <v>4</v>
      </c>
      <c r="AD12" s="23">
        <v>10</v>
      </c>
      <c r="AE12" s="23">
        <v>10</v>
      </c>
      <c r="AF12" s="23">
        <v>5</v>
      </c>
      <c r="AG12" s="23" t="s">
        <v>4</v>
      </c>
      <c r="AH12" s="24">
        <f t="shared" si="0"/>
        <v>5.0990195135927845</v>
      </c>
      <c r="AI12" s="25">
        <v>17</v>
      </c>
      <c r="AJ12" s="25">
        <v>7</v>
      </c>
      <c r="AK12" s="25">
        <v>9</v>
      </c>
      <c r="AL12" s="25" t="s">
        <v>4</v>
      </c>
      <c r="AM12" s="26">
        <f>SQRT((AJ12-5)^2+(AK12-6)^2)</f>
        <v>3.6055512754639891</v>
      </c>
    </row>
    <row r="13" spans="1:39" x14ac:dyDescent="0.3">
      <c r="L13" s="8">
        <v>5</v>
      </c>
      <c r="M13" s="8">
        <v>5</v>
      </c>
      <c r="N13" s="8">
        <v>3</v>
      </c>
      <c r="O13" s="8" t="s">
        <v>5</v>
      </c>
      <c r="P13" s="9">
        <f t="shared" si="1"/>
        <v>2.2360679774997898</v>
      </c>
      <c r="U13" s="2">
        <v>8</v>
      </c>
      <c r="V13" s="2">
        <v>8</v>
      </c>
      <c r="W13" s="2">
        <v>4</v>
      </c>
      <c r="X13" s="2" t="s">
        <v>4</v>
      </c>
      <c r="AD13" s="23">
        <v>11</v>
      </c>
      <c r="AE13" s="23">
        <v>1</v>
      </c>
      <c r="AF13" s="23">
        <v>6</v>
      </c>
      <c r="AG13" s="23" t="s">
        <v>5</v>
      </c>
      <c r="AH13" s="24">
        <f t="shared" si="0"/>
        <v>4</v>
      </c>
      <c r="AI13" s="25">
        <v>11</v>
      </c>
      <c r="AJ13" s="25">
        <v>1</v>
      </c>
      <c r="AK13" s="25">
        <v>6</v>
      </c>
      <c r="AL13" s="25" t="s">
        <v>5</v>
      </c>
      <c r="AM13" s="26">
        <f>SQRT((AJ13-5)^2+(AK13-6)^2)</f>
        <v>4</v>
      </c>
    </row>
    <row r="14" spans="1:39" x14ac:dyDescent="0.3">
      <c r="L14" s="8">
        <v>12</v>
      </c>
      <c r="M14" s="8">
        <v>2</v>
      </c>
      <c r="N14" s="8">
        <v>6</v>
      </c>
      <c r="O14" s="8" t="s">
        <v>5</v>
      </c>
      <c r="P14" s="9">
        <f t="shared" si="1"/>
        <v>2.2360679774997898</v>
      </c>
      <c r="U14" s="2">
        <v>9</v>
      </c>
      <c r="V14" s="2">
        <v>9</v>
      </c>
      <c r="W14" s="2">
        <v>5</v>
      </c>
      <c r="X14" s="2" t="s">
        <v>5</v>
      </c>
      <c r="AD14" s="23">
        <v>12</v>
      </c>
      <c r="AE14" s="23">
        <v>2</v>
      </c>
      <c r="AF14" s="23">
        <v>6</v>
      </c>
      <c r="AG14" s="23" t="s">
        <v>5</v>
      </c>
      <c r="AH14" s="24">
        <f t="shared" si="0"/>
        <v>3</v>
      </c>
      <c r="AI14" s="25">
        <v>4</v>
      </c>
      <c r="AJ14" s="25">
        <v>4</v>
      </c>
      <c r="AK14" s="25">
        <v>2</v>
      </c>
      <c r="AL14" s="25" t="s">
        <v>5</v>
      </c>
      <c r="AM14" s="26">
        <f>SQRT((AJ14-5)^2+(AK14-6)^2)</f>
        <v>4.1231056256176606</v>
      </c>
    </row>
    <row r="15" spans="1:39" x14ac:dyDescent="0.3">
      <c r="A15" s="3" t="s">
        <v>13</v>
      </c>
      <c r="L15" s="2">
        <v>13</v>
      </c>
      <c r="M15" s="2">
        <v>3</v>
      </c>
      <c r="N15" s="2">
        <v>7</v>
      </c>
      <c r="O15" s="2" t="s">
        <v>4</v>
      </c>
      <c r="P15" s="5">
        <f t="shared" si="1"/>
        <v>2.2360679774997898</v>
      </c>
      <c r="U15" s="2">
        <v>10</v>
      </c>
      <c r="V15" s="2">
        <v>10</v>
      </c>
      <c r="W15" s="2">
        <v>5</v>
      </c>
      <c r="X15" s="2" t="s">
        <v>4</v>
      </c>
      <c r="AD15" s="23">
        <v>13</v>
      </c>
      <c r="AE15" s="23">
        <v>3</v>
      </c>
      <c r="AF15" s="23">
        <v>7</v>
      </c>
      <c r="AG15" s="23" t="s">
        <v>4</v>
      </c>
      <c r="AH15" s="24">
        <f t="shared" si="0"/>
        <v>2.2360679774997898</v>
      </c>
      <c r="AI15" s="25">
        <v>9</v>
      </c>
      <c r="AJ15" s="25">
        <v>9</v>
      </c>
      <c r="AK15" s="25">
        <v>5</v>
      </c>
      <c r="AL15" s="25" t="s">
        <v>5</v>
      </c>
      <c r="AM15" s="26">
        <f>SQRT((AJ15-5)^2+(AK15-6)^2)</f>
        <v>4.1231056256176606</v>
      </c>
    </row>
    <row r="16" spans="1:39" ht="19.5" customHeight="1" x14ac:dyDescent="0.3">
      <c r="A16" s="1" t="s">
        <v>0</v>
      </c>
      <c r="B16" s="1" t="s">
        <v>1</v>
      </c>
      <c r="C16" s="1" t="s">
        <v>2</v>
      </c>
      <c r="D16" s="1" t="s">
        <v>3</v>
      </c>
      <c r="F16" s="1" t="s">
        <v>0</v>
      </c>
      <c r="G16" s="1" t="s">
        <v>1</v>
      </c>
      <c r="H16" s="1" t="s">
        <v>2</v>
      </c>
      <c r="I16" s="1" t="s">
        <v>3</v>
      </c>
      <c r="J16" s="1" t="s">
        <v>11</v>
      </c>
      <c r="L16" s="2">
        <v>6</v>
      </c>
      <c r="M16" s="2">
        <v>6</v>
      </c>
      <c r="N16" s="2">
        <v>3</v>
      </c>
      <c r="O16" s="2" t="s">
        <v>5</v>
      </c>
      <c r="P16" s="5">
        <f t="shared" si="1"/>
        <v>2.8284271247461903</v>
      </c>
      <c r="U16" s="2">
        <v>11</v>
      </c>
      <c r="V16" s="2">
        <v>1</v>
      </c>
      <c r="W16" s="2">
        <v>6</v>
      </c>
      <c r="X16" s="2" t="s">
        <v>5</v>
      </c>
      <c r="AD16" s="23">
        <v>14</v>
      </c>
      <c r="AE16" s="23">
        <v>4</v>
      </c>
      <c r="AF16" s="23">
        <v>7</v>
      </c>
      <c r="AG16" s="23" t="s">
        <v>4</v>
      </c>
      <c r="AH16" s="24">
        <f t="shared" si="0"/>
        <v>1.4142135623730951</v>
      </c>
      <c r="AI16" s="25">
        <v>18</v>
      </c>
      <c r="AJ16" s="25">
        <v>8</v>
      </c>
      <c r="AK16" s="25">
        <v>9</v>
      </c>
      <c r="AL16" s="25" t="s">
        <v>4</v>
      </c>
      <c r="AM16" s="26">
        <f>SQRT((AJ16-5)^2+(AK16-6)^2)</f>
        <v>4.2426406871192848</v>
      </c>
    </row>
    <row r="17" spans="1:39" x14ac:dyDescent="0.3">
      <c r="A17" s="2">
        <v>1</v>
      </c>
      <c r="B17" s="2">
        <v>1</v>
      </c>
      <c r="C17" s="2">
        <v>1</v>
      </c>
      <c r="D17" s="2" t="s">
        <v>4</v>
      </c>
      <c r="F17" s="2">
        <v>1</v>
      </c>
      <c r="G17" s="2">
        <v>1</v>
      </c>
      <c r="H17" s="2">
        <v>1</v>
      </c>
      <c r="I17" s="2" t="s">
        <v>4</v>
      </c>
      <c r="J17" s="5">
        <f>SQRT((G17-4)^2+(H17-5)^2)</f>
        <v>5</v>
      </c>
      <c r="L17" s="2">
        <v>4</v>
      </c>
      <c r="M17" s="2">
        <v>4</v>
      </c>
      <c r="N17" s="2">
        <v>2</v>
      </c>
      <c r="O17" s="2" t="s">
        <v>5</v>
      </c>
      <c r="P17" s="5">
        <f t="shared" si="1"/>
        <v>3</v>
      </c>
      <c r="U17" s="2">
        <v>12</v>
      </c>
      <c r="V17" s="2">
        <v>2</v>
      </c>
      <c r="W17" s="2">
        <v>6</v>
      </c>
      <c r="X17" s="2" t="s">
        <v>5</v>
      </c>
      <c r="AD17" s="23">
        <v>15</v>
      </c>
      <c r="AE17" s="23">
        <v>5</v>
      </c>
      <c r="AF17" s="23">
        <v>8</v>
      </c>
      <c r="AG17" s="23" t="s">
        <v>5</v>
      </c>
      <c r="AH17" s="24">
        <f t="shared" si="0"/>
        <v>2</v>
      </c>
      <c r="AI17" s="25">
        <v>3</v>
      </c>
      <c r="AJ17" s="25">
        <v>3</v>
      </c>
      <c r="AK17" s="25">
        <v>2</v>
      </c>
      <c r="AL17" s="25" t="s">
        <v>4</v>
      </c>
      <c r="AM17" s="26">
        <f>SQRT((AJ17-5)^2+(AK17-6)^2)</f>
        <v>4.4721359549995796</v>
      </c>
    </row>
    <row r="18" spans="1:39" x14ac:dyDescent="0.3">
      <c r="A18" s="2">
        <v>2</v>
      </c>
      <c r="B18" s="2">
        <v>2</v>
      </c>
      <c r="C18" s="2">
        <v>1</v>
      </c>
      <c r="D18" s="2" t="s">
        <v>4</v>
      </c>
      <c r="F18" s="2">
        <v>2</v>
      </c>
      <c r="G18" s="2">
        <v>2</v>
      </c>
      <c r="H18" s="2">
        <v>1</v>
      </c>
      <c r="I18" s="2" t="s">
        <v>4</v>
      </c>
      <c r="J18" s="5">
        <f>SQRT((G18-4)^2+(H18-5)^2)</f>
        <v>4.4721359549995796</v>
      </c>
      <c r="L18" s="2">
        <v>3</v>
      </c>
      <c r="M18" s="2">
        <v>3</v>
      </c>
      <c r="N18" s="2">
        <v>2</v>
      </c>
      <c r="O18" s="2" t="s">
        <v>4</v>
      </c>
      <c r="P18" s="5">
        <f t="shared" si="1"/>
        <v>3.1622776601683795</v>
      </c>
      <c r="U18" s="2">
        <v>13</v>
      </c>
      <c r="V18" s="2">
        <v>3</v>
      </c>
      <c r="W18" s="2">
        <v>7</v>
      </c>
      <c r="X18" s="2" t="s">
        <v>4</v>
      </c>
      <c r="AD18" s="23">
        <v>16</v>
      </c>
      <c r="AE18" s="23">
        <v>6</v>
      </c>
      <c r="AF18" s="23">
        <v>8</v>
      </c>
      <c r="AG18" s="23" t="s">
        <v>5</v>
      </c>
      <c r="AH18" s="24">
        <f t="shared" si="0"/>
        <v>2.2360679774997898</v>
      </c>
      <c r="AI18" s="25">
        <v>10</v>
      </c>
      <c r="AJ18" s="25">
        <v>10</v>
      </c>
      <c r="AK18" s="25">
        <v>5</v>
      </c>
      <c r="AL18" s="25" t="s">
        <v>4</v>
      </c>
      <c r="AM18" s="26">
        <f>SQRT((AJ18-5)^2+(AK18-6)^2)</f>
        <v>5.0990195135927845</v>
      </c>
    </row>
    <row r="19" spans="1:39" x14ac:dyDescent="0.3">
      <c r="A19" s="2">
        <v>3</v>
      </c>
      <c r="B19" s="2">
        <v>3</v>
      </c>
      <c r="C19" s="2">
        <v>2</v>
      </c>
      <c r="D19" s="2" t="s">
        <v>4</v>
      </c>
      <c r="F19" s="2">
        <v>3</v>
      </c>
      <c r="G19" s="2">
        <v>3</v>
      </c>
      <c r="H19" s="2">
        <v>2</v>
      </c>
      <c r="I19" s="2" t="s">
        <v>4</v>
      </c>
      <c r="J19" s="5">
        <f>SQRT((G19-4)^2+(H19-5)^2)</f>
        <v>3.1622776601683795</v>
      </c>
      <c r="L19" s="2">
        <v>7</v>
      </c>
      <c r="M19" s="2">
        <v>7</v>
      </c>
      <c r="N19" s="2">
        <v>4</v>
      </c>
      <c r="O19" s="2" t="s">
        <v>4</v>
      </c>
      <c r="P19" s="5">
        <f t="shared" si="1"/>
        <v>3.1622776601683795</v>
      </c>
      <c r="U19" s="2">
        <v>14</v>
      </c>
      <c r="V19" s="2">
        <v>4</v>
      </c>
      <c r="W19" s="2">
        <v>7</v>
      </c>
      <c r="X19" s="2" t="s">
        <v>4</v>
      </c>
      <c r="AD19" s="23">
        <v>17</v>
      </c>
      <c r="AE19" s="23">
        <v>7</v>
      </c>
      <c r="AF19" s="23">
        <v>9</v>
      </c>
      <c r="AG19" s="23" t="s">
        <v>4</v>
      </c>
      <c r="AH19" s="24">
        <f t="shared" si="0"/>
        <v>3.6055512754639891</v>
      </c>
      <c r="AI19" s="25">
        <v>19</v>
      </c>
      <c r="AJ19" s="25">
        <v>9</v>
      </c>
      <c r="AK19" s="25">
        <v>10</v>
      </c>
      <c r="AL19" s="25" t="s">
        <v>5</v>
      </c>
      <c r="AM19" s="26">
        <f>SQRT((AJ19-5)^2+(AK19-6)^2)</f>
        <v>5.6568542494923806</v>
      </c>
    </row>
    <row r="20" spans="1:39" x14ac:dyDescent="0.3">
      <c r="A20" s="2">
        <v>4</v>
      </c>
      <c r="B20" s="2">
        <v>4</v>
      </c>
      <c r="C20" s="2">
        <v>2</v>
      </c>
      <c r="D20" s="2" t="s">
        <v>5</v>
      </c>
      <c r="F20" s="2">
        <v>4</v>
      </c>
      <c r="G20" s="2">
        <v>4</v>
      </c>
      <c r="H20" s="2">
        <v>2</v>
      </c>
      <c r="I20" s="2" t="s">
        <v>5</v>
      </c>
      <c r="J20" s="5">
        <f>SQRT((G20-4)^2+(H20-5)^2)</f>
        <v>3</v>
      </c>
      <c r="L20" s="2">
        <v>11</v>
      </c>
      <c r="M20" s="2">
        <v>1</v>
      </c>
      <c r="N20" s="2">
        <v>6</v>
      </c>
      <c r="O20" s="2" t="s">
        <v>5</v>
      </c>
      <c r="P20" s="5">
        <f t="shared" si="1"/>
        <v>3.1622776601683795</v>
      </c>
      <c r="U20" s="2">
        <v>15</v>
      </c>
      <c r="V20" s="2">
        <v>5</v>
      </c>
      <c r="W20" s="2">
        <v>8</v>
      </c>
      <c r="X20" s="2" t="s">
        <v>5</v>
      </c>
      <c r="AD20" s="23">
        <v>18</v>
      </c>
      <c r="AE20" s="23">
        <v>8</v>
      </c>
      <c r="AF20" s="23">
        <v>9</v>
      </c>
      <c r="AG20" s="23" t="s">
        <v>4</v>
      </c>
      <c r="AH20" s="24">
        <f t="shared" si="0"/>
        <v>4.2426406871192848</v>
      </c>
      <c r="AI20" s="25">
        <v>2</v>
      </c>
      <c r="AJ20" s="25">
        <v>2</v>
      </c>
      <c r="AK20" s="25">
        <v>1</v>
      </c>
      <c r="AL20" s="25" t="s">
        <v>4</v>
      </c>
      <c r="AM20" s="26">
        <f>SQRT((AJ20-5)^2+(AK20-6)^2)</f>
        <v>5.8309518948453007</v>
      </c>
    </row>
    <row r="21" spans="1:39" x14ac:dyDescent="0.3">
      <c r="A21" s="2">
        <v>5</v>
      </c>
      <c r="B21" s="2">
        <v>5</v>
      </c>
      <c r="C21" s="2">
        <v>3</v>
      </c>
      <c r="D21" s="2" t="s">
        <v>5</v>
      </c>
      <c r="F21" s="2">
        <v>5</v>
      </c>
      <c r="G21" s="2">
        <v>5</v>
      </c>
      <c r="H21" s="2">
        <v>3</v>
      </c>
      <c r="I21" s="2" t="s">
        <v>5</v>
      </c>
      <c r="J21" s="5">
        <f>SQRT((G21-4)^2+(H21-5)^2)</f>
        <v>2.2360679774997898</v>
      </c>
      <c r="L21" s="2">
        <v>15</v>
      </c>
      <c r="M21" s="2">
        <v>5</v>
      </c>
      <c r="N21" s="2">
        <v>8</v>
      </c>
      <c r="O21" s="2" t="s">
        <v>5</v>
      </c>
      <c r="P21" s="5">
        <f t="shared" si="1"/>
        <v>3.1622776601683795</v>
      </c>
      <c r="U21" s="2">
        <v>16</v>
      </c>
      <c r="V21" s="2">
        <v>6</v>
      </c>
      <c r="W21" s="2">
        <v>8</v>
      </c>
      <c r="X21" s="2" t="s">
        <v>5</v>
      </c>
      <c r="AD21" s="23">
        <v>19</v>
      </c>
      <c r="AE21" s="23">
        <v>9</v>
      </c>
      <c r="AF21" s="23">
        <v>10</v>
      </c>
      <c r="AG21" s="23" t="s">
        <v>5</v>
      </c>
      <c r="AH21" s="24">
        <f t="shared" si="0"/>
        <v>5.6568542494923806</v>
      </c>
      <c r="AI21" s="25">
        <v>1</v>
      </c>
      <c r="AJ21" s="25">
        <v>1</v>
      </c>
      <c r="AK21" s="25">
        <v>1</v>
      </c>
      <c r="AL21" s="25" t="s">
        <v>4</v>
      </c>
      <c r="AM21" s="26">
        <f>SQRT((AJ21-5)^2+(AK21-6)^2)</f>
        <v>6.4031242374328485</v>
      </c>
    </row>
    <row r="22" spans="1:39" x14ac:dyDescent="0.3">
      <c r="A22" s="2">
        <v>6</v>
      </c>
      <c r="B22" s="2">
        <v>6</v>
      </c>
      <c r="C22" s="2">
        <v>3</v>
      </c>
      <c r="D22" s="2" t="s">
        <v>5</v>
      </c>
      <c r="F22" s="2">
        <v>6</v>
      </c>
      <c r="G22" s="2">
        <v>6</v>
      </c>
      <c r="H22" s="2">
        <v>3</v>
      </c>
      <c r="I22" s="2" t="s">
        <v>5</v>
      </c>
      <c r="J22" s="5">
        <f>SQRT((G22-4)^2+(H22-5)^2)</f>
        <v>2.8284271247461903</v>
      </c>
      <c r="L22" s="2">
        <v>16</v>
      </c>
      <c r="M22" s="2">
        <v>6</v>
      </c>
      <c r="N22" s="2">
        <v>8</v>
      </c>
      <c r="O22" s="2" t="s">
        <v>5</v>
      </c>
      <c r="P22" s="5">
        <f t="shared" si="1"/>
        <v>3.6055512754639891</v>
      </c>
      <c r="U22" s="2">
        <v>17</v>
      </c>
      <c r="V22" s="2">
        <v>7</v>
      </c>
      <c r="W22" s="2">
        <v>9</v>
      </c>
      <c r="X22" s="2" t="s">
        <v>4</v>
      </c>
      <c r="AD22" s="23">
        <v>20</v>
      </c>
      <c r="AE22" s="23">
        <v>10</v>
      </c>
      <c r="AF22" s="23">
        <v>10</v>
      </c>
      <c r="AG22" s="23" t="s">
        <v>4</v>
      </c>
      <c r="AH22" s="24">
        <f t="shared" si="0"/>
        <v>6.4031242374328485</v>
      </c>
      <c r="AI22" s="25">
        <v>20</v>
      </c>
      <c r="AJ22" s="25">
        <v>10</v>
      </c>
      <c r="AK22" s="25">
        <v>10</v>
      </c>
      <c r="AL22" s="25" t="s">
        <v>4</v>
      </c>
      <c r="AM22" s="26">
        <f>SQRT((AJ22-5)^2+(AK22-6)^2)</f>
        <v>6.4031242374328485</v>
      </c>
    </row>
    <row r="23" spans="1:39" x14ac:dyDescent="0.3">
      <c r="A23" s="2">
        <v>7</v>
      </c>
      <c r="B23" s="2">
        <v>7</v>
      </c>
      <c r="C23" s="2">
        <v>4</v>
      </c>
      <c r="D23" s="2" t="s">
        <v>4</v>
      </c>
      <c r="F23" s="2">
        <v>7</v>
      </c>
      <c r="G23" s="2">
        <v>7</v>
      </c>
      <c r="H23" s="2">
        <v>4</v>
      </c>
      <c r="I23" s="2" t="s">
        <v>4</v>
      </c>
      <c r="J23" s="5">
        <f>SQRT((G23-4)^2+(H23-5)^2)</f>
        <v>3.1622776601683795</v>
      </c>
      <c r="L23" s="2">
        <v>8</v>
      </c>
      <c r="M23" s="2">
        <v>8</v>
      </c>
      <c r="N23" s="2">
        <v>4</v>
      </c>
      <c r="O23" s="2" t="s">
        <v>4</v>
      </c>
      <c r="P23" s="5">
        <f t="shared" si="1"/>
        <v>4.1231056256176606</v>
      </c>
      <c r="U23" s="2">
        <v>18</v>
      </c>
      <c r="V23" s="2">
        <v>8</v>
      </c>
      <c r="W23" s="2">
        <v>9</v>
      </c>
      <c r="X23" s="2" t="s">
        <v>4</v>
      </c>
    </row>
    <row r="24" spans="1:39" x14ac:dyDescent="0.3">
      <c r="A24" s="2">
        <v>8</v>
      </c>
      <c r="B24" s="2">
        <v>8</v>
      </c>
      <c r="C24" s="2">
        <v>4</v>
      </c>
      <c r="D24" s="2" t="s">
        <v>4</v>
      </c>
      <c r="F24" s="2">
        <v>8</v>
      </c>
      <c r="G24" s="2">
        <v>8</v>
      </c>
      <c r="H24" s="2">
        <v>4</v>
      </c>
      <c r="I24" s="2" t="s">
        <v>4</v>
      </c>
      <c r="J24" s="5">
        <f>SQRT((G24-4)^2+(H24-5)^2)</f>
        <v>4.1231056256176606</v>
      </c>
      <c r="L24" s="2">
        <v>2</v>
      </c>
      <c r="M24" s="2">
        <v>2</v>
      </c>
      <c r="N24" s="2">
        <v>1</v>
      </c>
      <c r="O24" s="2" t="s">
        <v>4</v>
      </c>
      <c r="P24" s="5">
        <f t="shared" si="1"/>
        <v>4.4721359549995796</v>
      </c>
      <c r="U24" s="2">
        <v>19</v>
      </c>
      <c r="V24" s="2">
        <v>9</v>
      </c>
      <c r="W24" s="2">
        <v>10</v>
      </c>
      <c r="X24" s="2" t="s">
        <v>5</v>
      </c>
    </row>
    <row r="25" spans="1:39" x14ac:dyDescent="0.3">
      <c r="A25" s="2">
        <v>9</v>
      </c>
      <c r="B25" s="2">
        <v>9</v>
      </c>
      <c r="C25" s="2">
        <v>5</v>
      </c>
      <c r="D25" s="2" t="s">
        <v>5</v>
      </c>
      <c r="F25" s="2">
        <v>9</v>
      </c>
      <c r="G25" s="2">
        <v>9</v>
      </c>
      <c r="H25" s="2">
        <v>5</v>
      </c>
      <c r="I25" s="2" t="s">
        <v>5</v>
      </c>
      <c r="J25" s="5">
        <f>SQRT((G25-4)^2+(H25-5)^2)</f>
        <v>5</v>
      </c>
      <c r="L25" s="2">
        <v>1</v>
      </c>
      <c r="M25" s="2">
        <v>1</v>
      </c>
      <c r="N25" s="2">
        <v>1</v>
      </c>
      <c r="O25" s="2" t="s">
        <v>4</v>
      </c>
      <c r="P25" s="5">
        <f t="shared" si="1"/>
        <v>5</v>
      </c>
      <c r="U25" s="2">
        <v>20</v>
      </c>
      <c r="V25" s="2">
        <v>10</v>
      </c>
      <c r="W25" s="2">
        <v>10</v>
      </c>
      <c r="X25" s="2" t="s">
        <v>4</v>
      </c>
      <c r="AD25" t="s">
        <v>24</v>
      </c>
    </row>
    <row r="26" spans="1:39" ht="15" customHeight="1" x14ac:dyDescent="0.3">
      <c r="A26" s="2">
        <v>10</v>
      </c>
      <c r="B26" s="2">
        <v>10</v>
      </c>
      <c r="C26" s="2">
        <v>5</v>
      </c>
      <c r="D26" s="2" t="s">
        <v>4</v>
      </c>
      <c r="F26" s="2">
        <v>10</v>
      </c>
      <c r="G26" s="2">
        <v>10</v>
      </c>
      <c r="H26" s="2">
        <v>5</v>
      </c>
      <c r="I26" s="2" t="s">
        <v>4</v>
      </c>
      <c r="J26" s="5">
        <f>SQRT((G26-4)^2+(H26-5)^2)</f>
        <v>6</v>
      </c>
      <c r="L26" s="2">
        <v>9</v>
      </c>
      <c r="M26" s="2">
        <v>9</v>
      </c>
      <c r="N26" s="2">
        <v>5</v>
      </c>
      <c r="O26" s="2" t="s">
        <v>5</v>
      </c>
      <c r="P26" s="5">
        <f t="shared" si="1"/>
        <v>5</v>
      </c>
      <c r="AD26" t="s">
        <v>25</v>
      </c>
    </row>
    <row r="27" spans="1:39" x14ac:dyDescent="0.3">
      <c r="A27" s="2">
        <v>11</v>
      </c>
      <c r="B27" s="2">
        <v>1</v>
      </c>
      <c r="C27" s="2">
        <v>6</v>
      </c>
      <c r="D27" s="2" t="s">
        <v>5</v>
      </c>
      <c r="F27" s="2">
        <v>11</v>
      </c>
      <c r="G27" s="2">
        <v>1</v>
      </c>
      <c r="H27" s="2">
        <v>6</v>
      </c>
      <c r="I27" s="2" t="s">
        <v>5</v>
      </c>
      <c r="J27" s="5">
        <f>SQRT((G27-4)^2+(H27-5)^2)</f>
        <v>3.1622776601683795</v>
      </c>
      <c r="L27" s="2">
        <v>17</v>
      </c>
      <c r="M27" s="2">
        <v>7</v>
      </c>
      <c r="N27" s="2">
        <v>9</v>
      </c>
      <c r="O27" s="2" t="s">
        <v>4</v>
      </c>
      <c r="P27" s="5">
        <f t="shared" si="1"/>
        <v>5</v>
      </c>
    </row>
    <row r="28" spans="1:39" x14ac:dyDescent="0.3">
      <c r="A28" s="2">
        <v>12</v>
      </c>
      <c r="B28" s="2">
        <v>2</v>
      </c>
      <c r="C28" s="2">
        <v>6</v>
      </c>
      <c r="D28" s="2" t="s">
        <v>5</v>
      </c>
      <c r="F28" s="2">
        <v>12</v>
      </c>
      <c r="G28" s="2">
        <v>2</v>
      </c>
      <c r="H28" s="2">
        <v>6</v>
      </c>
      <c r="I28" s="2" t="s">
        <v>5</v>
      </c>
      <c r="J28" s="5">
        <f>SQRT((G28-4)^2+(H28-5)^2)</f>
        <v>2.2360679774997898</v>
      </c>
      <c r="L28" s="2">
        <v>18</v>
      </c>
      <c r="M28" s="2">
        <v>8</v>
      </c>
      <c r="N28" s="2">
        <v>9</v>
      </c>
      <c r="O28" s="2" t="s">
        <v>4</v>
      </c>
      <c r="P28" s="5">
        <f t="shared" si="1"/>
        <v>5.6568542494923806</v>
      </c>
    </row>
    <row r="29" spans="1:39" x14ac:dyDescent="0.3">
      <c r="A29" s="2">
        <v>13</v>
      </c>
      <c r="B29" s="2">
        <v>3</v>
      </c>
      <c r="C29" s="2">
        <v>7</v>
      </c>
      <c r="D29" s="2" t="s">
        <v>4</v>
      </c>
      <c r="F29" s="2">
        <v>13</v>
      </c>
      <c r="G29" s="2">
        <v>3</v>
      </c>
      <c r="H29" s="2">
        <v>7</v>
      </c>
      <c r="I29" s="2" t="s">
        <v>4</v>
      </c>
      <c r="J29" s="5">
        <f>SQRT((G29-4)^2+(H29-5)^2)</f>
        <v>2.2360679774997898</v>
      </c>
      <c r="L29" s="2">
        <v>10</v>
      </c>
      <c r="M29" s="2">
        <v>10</v>
      </c>
      <c r="N29" s="2">
        <v>5</v>
      </c>
      <c r="O29" s="2" t="s">
        <v>4</v>
      </c>
      <c r="P29" s="5">
        <f t="shared" si="1"/>
        <v>6</v>
      </c>
    </row>
    <row r="30" spans="1:39" x14ac:dyDescent="0.3">
      <c r="A30" s="2">
        <v>14</v>
      </c>
      <c r="B30" s="2">
        <v>4</v>
      </c>
      <c r="C30" s="2">
        <v>7</v>
      </c>
      <c r="D30" s="2" t="s">
        <v>4</v>
      </c>
      <c r="F30" s="2">
        <v>14</v>
      </c>
      <c r="G30" s="2">
        <v>4</v>
      </c>
      <c r="H30" s="2">
        <v>7</v>
      </c>
      <c r="I30" s="2" t="s">
        <v>4</v>
      </c>
      <c r="J30" s="5">
        <f>SQRT((G30-4)^2+(H30-5)^2)</f>
        <v>2</v>
      </c>
      <c r="L30" s="2">
        <v>19</v>
      </c>
      <c r="M30" s="2">
        <v>9</v>
      </c>
      <c r="N30" s="2">
        <v>10</v>
      </c>
      <c r="O30" s="2" t="s">
        <v>5</v>
      </c>
      <c r="P30" s="5">
        <f t="shared" si="1"/>
        <v>7.0710678118654755</v>
      </c>
    </row>
    <row r="31" spans="1:39" x14ac:dyDescent="0.3">
      <c r="A31" s="2">
        <v>15</v>
      </c>
      <c r="B31" s="2">
        <v>5</v>
      </c>
      <c r="C31" s="2">
        <v>8</v>
      </c>
      <c r="D31" s="2" t="s">
        <v>5</v>
      </c>
      <c r="F31" s="2">
        <v>15</v>
      </c>
      <c r="G31" s="2">
        <v>5</v>
      </c>
      <c r="H31" s="2">
        <v>8</v>
      </c>
      <c r="I31" s="2" t="s">
        <v>5</v>
      </c>
      <c r="J31" s="5">
        <f>SQRT((G31-4)^2+(H31-5)^2)</f>
        <v>3.1622776601683795</v>
      </c>
      <c r="L31" s="2">
        <v>20</v>
      </c>
      <c r="M31" s="2">
        <v>10</v>
      </c>
      <c r="N31" s="2">
        <v>10</v>
      </c>
      <c r="O31" s="2" t="s">
        <v>4</v>
      </c>
      <c r="P31" s="5">
        <f t="shared" si="1"/>
        <v>7.810249675906654</v>
      </c>
    </row>
    <row r="32" spans="1:39" x14ac:dyDescent="0.3">
      <c r="A32" s="2">
        <v>16</v>
      </c>
      <c r="B32" s="2">
        <v>6</v>
      </c>
      <c r="C32" s="2">
        <v>8</v>
      </c>
      <c r="D32" s="2" t="s">
        <v>5</v>
      </c>
      <c r="F32" s="2">
        <v>16</v>
      </c>
      <c r="G32" s="2">
        <v>6</v>
      </c>
      <c r="H32" s="2">
        <v>8</v>
      </c>
      <c r="I32" s="2" t="s">
        <v>5</v>
      </c>
      <c r="J32" s="5">
        <f>SQRT((G32-4)^2+(H32-5)^2)</f>
        <v>3.6055512754639891</v>
      </c>
    </row>
    <row r="33" spans="1:16" x14ac:dyDescent="0.3">
      <c r="A33" s="2">
        <v>17</v>
      </c>
      <c r="B33" s="2">
        <v>7</v>
      </c>
      <c r="C33" s="2">
        <v>9</v>
      </c>
      <c r="D33" s="2" t="s">
        <v>4</v>
      </c>
      <c r="F33" s="2">
        <v>17</v>
      </c>
      <c r="G33" s="2">
        <v>7</v>
      </c>
      <c r="H33" s="2">
        <v>9</v>
      </c>
      <c r="I33" s="2" t="s">
        <v>4</v>
      </c>
      <c r="J33" s="5">
        <f>SQRT((G33-4)^2+(H33-5)^2)</f>
        <v>5</v>
      </c>
    </row>
    <row r="34" spans="1:16" x14ac:dyDescent="0.3">
      <c r="A34" s="2">
        <v>18</v>
      </c>
      <c r="B34" s="2">
        <v>8</v>
      </c>
      <c r="C34" s="2">
        <v>9</v>
      </c>
      <c r="D34" s="2" t="s">
        <v>4</v>
      </c>
      <c r="F34" s="2">
        <v>18</v>
      </c>
      <c r="G34" s="2">
        <v>8</v>
      </c>
      <c r="H34" s="2">
        <v>9</v>
      </c>
      <c r="I34" s="2" t="s">
        <v>4</v>
      </c>
      <c r="J34" s="5">
        <f>SQRT((G34-4)^2+(H34-5)^2)</f>
        <v>5.6568542494923806</v>
      </c>
    </row>
    <row r="35" spans="1:16" x14ac:dyDescent="0.3">
      <c r="A35" s="2">
        <v>19</v>
      </c>
      <c r="B35" s="2">
        <v>9</v>
      </c>
      <c r="C35" s="2">
        <v>10</v>
      </c>
      <c r="D35" s="2" t="s">
        <v>5</v>
      </c>
      <c r="F35" s="2">
        <v>19</v>
      </c>
      <c r="G35" s="2">
        <v>9</v>
      </c>
      <c r="H35" s="2">
        <v>10</v>
      </c>
      <c r="I35" s="2" t="s">
        <v>5</v>
      </c>
      <c r="J35" s="5">
        <f>SQRT((G35-4)^2+(H35-5)^2)</f>
        <v>7.0710678118654755</v>
      </c>
    </row>
    <row r="36" spans="1:16" x14ac:dyDescent="0.3">
      <c r="A36" s="2">
        <v>20</v>
      </c>
      <c r="B36" s="2">
        <v>10</v>
      </c>
      <c r="C36" s="2">
        <v>10</v>
      </c>
      <c r="D36" s="2" t="s">
        <v>4</v>
      </c>
      <c r="F36" s="2">
        <v>20</v>
      </c>
      <c r="G36" s="2">
        <v>10</v>
      </c>
      <c r="H36" s="2">
        <v>10</v>
      </c>
      <c r="I36" s="2" t="s">
        <v>4</v>
      </c>
      <c r="J36" s="5">
        <f>SQRT((G36-4)^2+(H36-5)^2)</f>
        <v>7.810249675906654</v>
      </c>
    </row>
    <row r="45" spans="1:16" ht="46.2" x14ac:dyDescent="0.85">
      <c r="B45" s="28" t="s">
        <v>26</v>
      </c>
      <c r="C45" s="29"/>
      <c r="D45" s="29"/>
      <c r="E45" s="29"/>
      <c r="F45" s="29"/>
      <c r="G45" s="29"/>
      <c r="H45" s="29"/>
      <c r="L45" s="14" t="s">
        <v>23</v>
      </c>
      <c r="M45" s="14"/>
      <c r="N45" s="14"/>
      <c r="O45" s="14"/>
    </row>
    <row r="46" spans="1:16" ht="25.8" x14ac:dyDescent="0.5">
      <c r="B46" s="21" t="s">
        <v>28</v>
      </c>
      <c r="L46" s="14"/>
      <c r="M46" s="14"/>
      <c r="N46" s="14"/>
      <c r="O46" s="14"/>
    </row>
    <row r="47" spans="1:16" ht="28.8" x14ac:dyDescent="0.3">
      <c r="L47" s="1" t="s">
        <v>0</v>
      </c>
      <c r="M47" s="1" t="s">
        <v>1</v>
      </c>
      <c r="N47" s="1" t="s">
        <v>2</v>
      </c>
      <c r="O47" s="1" t="s">
        <v>3</v>
      </c>
      <c r="P47" s="1" t="s">
        <v>11</v>
      </c>
    </row>
    <row r="48" spans="1:16" ht="28.8" x14ac:dyDescent="0.3">
      <c r="A48" s="17" t="s">
        <v>0</v>
      </c>
      <c r="B48" s="17" t="s">
        <v>1</v>
      </c>
      <c r="C48" s="17" t="s">
        <v>2</v>
      </c>
      <c r="D48" s="17" t="s">
        <v>3</v>
      </c>
      <c r="F48" s="18" t="s">
        <v>0</v>
      </c>
      <c r="G48" s="18" t="s">
        <v>1</v>
      </c>
      <c r="H48" s="18" t="s">
        <v>2</v>
      </c>
      <c r="I48" s="18" t="s">
        <v>3</v>
      </c>
      <c r="J48" s="18" t="s">
        <v>27</v>
      </c>
      <c r="L48" s="8">
        <v>14</v>
      </c>
      <c r="M48" s="8">
        <v>4</v>
      </c>
      <c r="N48" s="8">
        <v>7</v>
      </c>
      <c r="O48" s="8" t="s">
        <v>4</v>
      </c>
      <c r="P48" s="9">
        <f t="shared" ref="P48:P67" si="2">SQRT((M48-4)^2+(N48-5)^2)</f>
        <v>2</v>
      </c>
    </row>
    <row r="49" spans="1:19" x14ac:dyDescent="0.3">
      <c r="A49" s="2">
        <v>1</v>
      </c>
      <c r="B49" s="2">
        <v>1</v>
      </c>
      <c r="C49" s="2">
        <v>1</v>
      </c>
      <c r="D49" s="2" t="s">
        <v>4</v>
      </c>
      <c r="F49" s="19">
        <v>6</v>
      </c>
      <c r="G49" s="19">
        <v>6</v>
      </c>
      <c r="H49" s="19">
        <v>3</v>
      </c>
      <c r="I49" s="19" t="s">
        <v>5</v>
      </c>
      <c r="J49" s="20">
        <f t="shared" ref="J49:J68" si="3">ABS(G49-6)+ABS(H49-5)</f>
        <v>2</v>
      </c>
      <c r="L49" s="8">
        <v>5</v>
      </c>
      <c r="M49" s="8">
        <v>5</v>
      </c>
      <c r="N49" s="8">
        <v>3</v>
      </c>
      <c r="O49" s="8" t="s">
        <v>5</v>
      </c>
      <c r="P49" s="9">
        <f t="shared" si="2"/>
        <v>2.2360679774997898</v>
      </c>
    </row>
    <row r="50" spans="1:19" x14ac:dyDescent="0.3">
      <c r="A50" s="2">
        <v>2</v>
      </c>
      <c r="B50" s="2">
        <v>2</v>
      </c>
      <c r="C50" s="2">
        <v>1</v>
      </c>
      <c r="D50" s="2" t="s">
        <v>4</v>
      </c>
      <c r="F50" s="19">
        <v>7</v>
      </c>
      <c r="G50" s="19">
        <v>7</v>
      </c>
      <c r="H50" s="19">
        <v>4</v>
      </c>
      <c r="I50" s="19" t="s">
        <v>4</v>
      </c>
      <c r="J50" s="20">
        <f t="shared" si="3"/>
        <v>2</v>
      </c>
      <c r="L50" s="8">
        <v>12</v>
      </c>
      <c r="M50" s="8">
        <v>2</v>
      </c>
      <c r="N50" s="8">
        <v>6</v>
      </c>
      <c r="O50" s="8" t="s">
        <v>5</v>
      </c>
      <c r="P50" s="9">
        <f t="shared" si="2"/>
        <v>2.2360679774997898</v>
      </c>
    </row>
    <row r="51" spans="1:19" x14ac:dyDescent="0.3">
      <c r="A51" s="2">
        <v>3</v>
      </c>
      <c r="B51" s="2">
        <v>3</v>
      </c>
      <c r="C51" s="2">
        <v>2</v>
      </c>
      <c r="D51" s="2" t="s">
        <v>4</v>
      </c>
      <c r="F51" s="19">
        <v>5</v>
      </c>
      <c r="G51" s="19">
        <v>5</v>
      </c>
      <c r="H51" s="19">
        <v>3</v>
      </c>
      <c r="I51" s="19" t="s">
        <v>5</v>
      </c>
      <c r="J51" s="20">
        <f t="shared" si="3"/>
        <v>3</v>
      </c>
      <c r="L51" s="2">
        <v>13</v>
      </c>
      <c r="M51" s="2">
        <v>3</v>
      </c>
      <c r="N51" s="2">
        <v>7</v>
      </c>
      <c r="O51" s="2" t="s">
        <v>4</v>
      </c>
      <c r="P51" s="5">
        <f t="shared" si="2"/>
        <v>2.2360679774997898</v>
      </c>
    </row>
    <row r="52" spans="1:19" x14ac:dyDescent="0.3">
      <c r="A52" s="2">
        <v>4</v>
      </c>
      <c r="B52" s="2">
        <v>4</v>
      </c>
      <c r="C52" s="2">
        <v>2</v>
      </c>
      <c r="D52" s="2" t="s">
        <v>5</v>
      </c>
      <c r="F52" s="19">
        <v>8</v>
      </c>
      <c r="G52" s="19">
        <v>8</v>
      </c>
      <c r="H52" s="19">
        <v>4</v>
      </c>
      <c r="I52" s="19" t="s">
        <v>4</v>
      </c>
      <c r="J52" s="20">
        <f t="shared" si="3"/>
        <v>3</v>
      </c>
      <c r="L52" s="2">
        <v>6</v>
      </c>
      <c r="M52" s="2">
        <v>6</v>
      </c>
      <c r="N52" s="2">
        <v>3</v>
      </c>
      <c r="O52" s="2" t="s">
        <v>5</v>
      </c>
      <c r="P52" s="5">
        <f t="shared" si="2"/>
        <v>2.8284271247461903</v>
      </c>
    </row>
    <row r="53" spans="1:19" x14ac:dyDescent="0.3">
      <c r="A53" s="2">
        <v>5</v>
      </c>
      <c r="B53" s="2">
        <v>5</v>
      </c>
      <c r="C53" s="2">
        <v>3</v>
      </c>
      <c r="D53" s="2" t="s">
        <v>5</v>
      </c>
      <c r="F53" s="19">
        <v>9</v>
      </c>
      <c r="G53" s="19">
        <v>9</v>
      </c>
      <c r="H53" s="19">
        <v>5</v>
      </c>
      <c r="I53" s="19" t="s">
        <v>5</v>
      </c>
      <c r="J53" s="20">
        <f t="shared" si="3"/>
        <v>3</v>
      </c>
      <c r="L53" s="2">
        <v>4</v>
      </c>
      <c r="M53" s="2">
        <v>4</v>
      </c>
      <c r="N53" s="2">
        <v>2</v>
      </c>
      <c r="O53" s="2" t="s">
        <v>5</v>
      </c>
      <c r="P53" s="5">
        <f t="shared" si="2"/>
        <v>3</v>
      </c>
    </row>
    <row r="54" spans="1:19" x14ac:dyDescent="0.3">
      <c r="A54" s="2">
        <v>6</v>
      </c>
      <c r="B54" s="2">
        <v>6</v>
      </c>
      <c r="C54" s="2">
        <v>3</v>
      </c>
      <c r="D54" s="2" t="s">
        <v>5</v>
      </c>
      <c r="F54" s="2">
        <v>16</v>
      </c>
      <c r="G54" s="2">
        <v>6</v>
      </c>
      <c r="H54" s="2">
        <v>8</v>
      </c>
      <c r="I54" s="2" t="s">
        <v>5</v>
      </c>
      <c r="J54" s="5">
        <f t="shared" si="3"/>
        <v>3</v>
      </c>
      <c r="L54" s="2">
        <v>3</v>
      </c>
      <c r="M54" s="2">
        <v>3</v>
      </c>
      <c r="N54" s="2">
        <v>2</v>
      </c>
      <c r="O54" s="2" t="s">
        <v>4</v>
      </c>
      <c r="P54" s="5">
        <f t="shared" si="2"/>
        <v>3.1622776601683795</v>
      </c>
    </row>
    <row r="55" spans="1:19" x14ac:dyDescent="0.3">
      <c r="A55" s="2">
        <v>7</v>
      </c>
      <c r="B55" s="2">
        <v>7</v>
      </c>
      <c r="C55" s="2">
        <v>4</v>
      </c>
      <c r="D55" s="2" t="s">
        <v>4</v>
      </c>
      <c r="F55" s="2">
        <v>10</v>
      </c>
      <c r="G55" s="2">
        <v>10</v>
      </c>
      <c r="H55" s="2">
        <v>5</v>
      </c>
      <c r="I55" s="2" t="s">
        <v>4</v>
      </c>
      <c r="J55" s="5">
        <f t="shared" si="3"/>
        <v>4</v>
      </c>
      <c r="L55" s="2">
        <v>7</v>
      </c>
      <c r="M55" s="2">
        <v>7</v>
      </c>
      <c r="N55" s="2">
        <v>4</v>
      </c>
      <c r="O55" s="2" t="s">
        <v>4</v>
      </c>
      <c r="P55" s="5">
        <f t="shared" si="2"/>
        <v>3.1622776601683795</v>
      </c>
    </row>
    <row r="56" spans="1:19" x14ac:dyDescent="0.3">
      <c r="A56" s="2">
        <v>8</v>
      </c>
      <c r="B56" s="2">
        <v>8</v>
      </c>
      <c r="C56" s="2">
        <v>4</v>
      </c>
      <c r="D56" s="2" t="s">
        <v>4</v>
      </c>
      <c r="F56" s="2">
        <v>14</v>
      </c>
      <c r="G56" s="2">
        <v>4</v>
      </c>
      <c r="H56" s="2">
        <v>7</v>
      </c>
      <c r="I56" s="2" t="s">
        <v>4</v>
      </c>
      <c r="J56" s="5">
        <f t="shared" si="3"/>
        <v>4</v>
      </c>
      <c r="L56" s="2">
        <v>11</v>
      </c>
      <c r="M56" s="2">
        <v>1</v>
      </c>
      <c r="N56" s="2">
        <v>6</v>
      </c>
      <c r="O56" s="2" t="s">
        <v>5</v>
      </c>
      <c r="P56" s="5">
        <f t="shared" si="2"/>
        <v>3.1622776601683795</v>
      </c>
    </row>
    <row r="57" spans="1:19" x14ac:dyDescent="0.3">
      <c r="A57" s="2">
        <v>9</v>
      </c>
      <c r="B57" s="2">
        <v>9</v>
      </c>
      <c r="C57" s="2">
        <v>5</v>
      </c>
      <c r="D57" s="2" t="s">
        <v>5</v>
      </c>
      <c r="F57" s="2">
        <v>15</v>
      </c>
      <c r="G57" s="2">
        <v>5</v>
      </c>
      <c r="H57" s="2">
        <v>8</v>
      </c>
      <c r="I57" s="2" t="s">
        <v>5</v>
      </c>
      <c r="J57" s="5">
        <f t="shared" si="3"/>
        <v>4</v>
      </c>
      <c r="L57" s="2">
        <v>15</v>
      </c>
      <c r="M57" s="2">
        <v>5</v>
      </c>
      <c r="N57" s="2">
        <v>8</v>
      </c>
      <c r="O57" s="2" t="s">
        <v>5</v>
      </c>
      <c r="P57" s="5">
        <f t="shared" si="2"/>
        <v>3.1622776601683795</v>
      </c>
    </row>
    <row r="58" spans="1:19" x14ac:dyDescent="0.3">
      <c r="A58" s="2">
        <v>10</v>
      </c>
      <c r="B58" s="2">
        <v>10</v>
      </c>
      <c r="C58" s="2">
        <v>5</v>
      </c>
      <c r="D58" s="2" t="s">
        <v>4</v>
      </c>
      <c r="F58" s="2">
        <v>4</v>
      </c>
      <c r="G58" s="2">
        <v>4</v>
      </c>
      <c r="H58" s="2">
        <v>2</v>
      </c>
      <c r="I58" s="2" t="s">
        <v>5</v>
      </c>
      <c r="J58" s="5">
        <f t="shared" si="3"/>
        <v>5</v>
      </c>
      <c r="L58" s="2">
        <v>16</v>
      </c>
      <c r="M58" s="2">
        <v>6</v>
      </c>
      <c r="N58" s="2">
        <v>8</v>
      </c>
      <c r="O58" s="2" t="s">
        <v>5</v>
      </c>
      <c r="P58" s="5">
        <f t="shared" si="2"/>
        <v>3.6055512754639891</v>
      </c>
    </row>
    <row r="59" spans="1:19" x14ac:dyDescent="0.3">
      <c r="A59" s="2">
        <v>11</v>
      </c>
      <c r="B59" s="2">
        <v>1</v>
      </c>
      <c r="C59" s="2">
        <v>6</v>
      </c>
      <c r="D59" s="2" t="s">
        <v>5</v>
      </c>
      <c r="F59" s="2">
        <v>12</v>
      </c>
      <c r="G59" s="2">
        <v>2</v>
      </c>
      <c r="H59" s="2">
        <v>6</v>
      </c>
      <c r="I59" s="2" t="s">
        <v>5</v>
      </c>
      <c r="J59" s="5">
        <f t="shared" si="3"/>
        <v>5</v>
      </c>
      <c r="L59" s="2">
        <v>8</v>
      </c>
      <c r="M59" s="2">
        <v>8</v>
      </c>
      <c r="N59" s="2">
        <v>4</v>
      </c>
      <c r="O59" s="2" t="s">
        <v>4</v>
      </c>
      <c r="P59" s="5">
        <f t="shared" si="2"/>
        <v>4.1231056256176606</v>
      </c>
    </row>
    <row r="60" spans="1:19" x14ac:dyDescent="0.3">
      <c r="A60" s="2">
        <v>12</v>
      </c>
      <c r="B60" s="2">
        <v>2</v>
      </c>
      <c r="C60" s="2">
        <v>6</v>
      </c>
      <c r="D60" s="2" t="s">
        <v>5</v>
      </c>
      <c r="F60" s="2">
        <v>13</v>
      </c>
      <c r="G60" s="2">
        <v>3</v>
      </c>
      <c r="H60" s="2">
        <v>7</v>
      </c>
      <c r="I60" s="2" t="s">
        <v>4</v>
      </c>
      <c r="J60" s="5">
        <f t="shared" si="3"/>
        <v>5</v>
      </c>
      <c r="L60" s="2">
        <v>2</v>
      </c>
      <c r="M60" s="2">
        <v>2</v>
      </c>
      <c r="N60" s="2">
        <v>1</v>
      </c>
      <c r="O60" s="2" t="s">
        <v>4</v>
      </c>
      <c r="P60" s="5">
        <f t="shared" si="2"/>
        <v>4.4721359549995796</v>
      </c>
    </row>
    <row r="61" spans="1:19" x14ac:dyDescent="0.3">
      <c r="A61" s="2">
        <v>13</v>
      </c>
      <c r="B61" s="2">
        <v>3</v>
      </c>
      <c r="C61" s="2">
        <v>7</v>
      </c>
      <c r="D61" s="2" t="s">
        <v>4</v>
      </c>
      <c r="F61" s="2">
        <v>17</v>
      </c>
      <c r="G61" s="2">
        <v>7</v>
      </c>
      <c r="H61" s="2">
        <v>9</v>
      </c>
      <c r="I61" s="2" t="s">
        <v>4</v>
      </c>
      <c r="J61" s="5">
        <f t="shared" si="3"/>
        <v>5</v>
      </c>
      <c r="L61" s="2">
        <v>1</v>
      </c>
      <c r="M61" s="2">
        <v>1</v>
      </c>
      <c r="N61" s="2">
        <v>1</v>
      </c>
      <c r="O61" s="2" t="s">
        <v>4</v>
      </c>
      <c r="P61" s="5">
        <f t="shared" si="2"/>
        <v>5</v>
      </c>
    </row>
    <row r="62" spans="1:19" ht="21" customHeight="1" x14ac:dyDescent="0.85">
      <c r="A62" s="2">
        <v>14</v>
      </c>
      <c r="B62" s="2">
        <v>4</v>
      </c>
      <c r="C62" s="2">
        <v>7</v>
      </c>
      <c r="D62" s="2" t="s">
        <v>4</v>
      </c>
      <c r="F62" s="2">
        <v>3</v>
      </c>
      <c r="G62" s="2">
        <v>3</v>
      </c>
      <c r="H62" s="2">
        <v>2</v>
      </c>
      <c r="I62" s="2" t="s">
        <v>4</v>
      </c>
      <c r="J62" s="5">
        <f t="shared" si="3"/>
        <v>6</v>
      </c>
      <c r="L62" s="2">
        <v>9</v>
      </c>
      <c r="M62" s="2">
        <v>9</v>
      </c>
      <c r="N62" s="2">
        <v>5</v>
      </c>
      <c r="O62" s="2" t="s">
        <v>5</v>
      </c>
      <c r="P62" s="5">
        <f t="shared" si="2"/>
        <v>5</v>
      </c>
      <c r="R62" s="29"/>
      <c r="S62" s="29"/>
    </row>
    <row r="63" spans="1:19" ht="21" customHeight="1" x14ac:dyDescent="0.85">
      <c r="A63" s="2">
        <v>15</v>
      </c>
      <c r="B63" s="2">
        <v>5</v>
      </c>
      <c r="C63" s="2">
        <v>8</v>
      </c>
      <c r="D63" s="2" t="s">
        <v>5</v>
      </c>
      <c r="F63" s="2">
        <v>11</v>
      </c>
      <c r="G63" s="2">
        <v>1</v>
      </c>
      <c r="H63" s="2">
        <v>6</v>
      </c>
      <c r="I63" s="2" t="s">
        <v>5</v>
      </c>
      <c r="J63" s="5">
        <f t="shared" si="3"/>
        <v>6</v>
      </c>
      <c r="K63" s="29"/>
      <c r="L63" s="2">
        <v>17</v>
      </c>
      <c r="M63" s="2">
        <v>7</v>
      </c>
      <c r="N63" s="2">
        <v>9</v>
      </c>
      <c r="O63" s="2" t="s">
        <v>4</v>
      </c>
      <c r="P63" s="5">
        <f t="shared" si="2"/>
        <v>5</v>
      </c>
      <c r="Q63" s="29"/>
      <c r="R63" s="29"/>
      <c r="S63" s="29"/>
    </row>
    <row r="64" spans="1:19" x14ac:dyDescent="0.3">
      <c r="A64" s="2">
        <v>16</v>
      </c>
      <c r="B64" s="2">
        <v>6</v>
      </c>
      <c r="C64" s="2">
        <v>8</v>
      </c>
      <c r="D64" s="2" t="s">
        <v>5</v>
      </c>
      <c r="F64" s="2">
        <v>18</v>
      </c>
      <c r="G64" s="2">
        <v>8</v>
      </c>
      <c r="H64" s="2">
        <v>9</v>
      </c>
      <c r="I64" s="2" t="s">
        <v>4</v>
      </c>
      <c r="J64" s="5">
        <f t="shared" si="3"/>
        <v>6</v>
      </c>
      <c r="L64" s="2">
        <v>18</v>
      </c>
      <c r="M64" s="2">
        <v>8</v>
      </c>
      <c r="N64" s="2">
        <v>9</v>
      </c>
      <c r="O64" s="2" t="s">
        <v>4</v>
      </c>
      <c r="P64" s="5">
        <f t="shared" si="2"/>
        <v>5.6568542494923806</v>
      </c>
    </row>
    <row r="65" spans="1:16" x14ac:dyDescent="0.3">
      <c r="A65" s="2">
        <v>17</v>
      </c>
      <c r="B65" s="2">
        <v>7</v>
      </c>
      <c r="C65" s="2">
        <v>9</v>
      </c>
      <c r="D65" s="2" t="s">
        <v>4</v>
      </c>
      <c r="F65" s="2">
        <v>2</v>
      </c>
      <c r="G65" s="2">
        <v>2</v>
      </c>
      <c r="H65" s="2">
        <v>1</v>
      </c>
      <c r="I65" s="2" t="s">
        <v>4</v>
      </c>
      <c r="J65" s="5">
        <f t="shared" si="3"/>
        <v>8</v>
      </c>
      <c r="L65" s="2">
        <v>10</v>
      </c>
      <c r="M65" s="2">
        <v>10</v>
      </c>
      <c r="N65" s="2">
        <v>5</v>
      </c>
      <c r="O65" s="2" t="s">
        <v>4</v>
      </c>
      <c r="P65" s="5">
        <f t="shared" si="2"/>
        <v>6</v>
      </c>
    </row>
    <row r="66" spans="1:16" x14ac:dyDescent="0.3">
      <c r="A66" s="2">
        <v>18</v>
      </c>
      <c r="B66" s="2">
        <v>8</v>
      </c>
      <c r="C66" s="2">
        <v>9</v>
      </c>
      <c r="D66" s="2" t="s">
        <v>4</v>
      </c>
      <c r="F66" s="2">
        <v>19</v>
      </c>
      <c r="G66" s="2">
        <v>9</v>
      </c>
      <c r="H66" s="2">
        <v>10</v>
      </c>
      <c r="I66" s="2" t="s">
        <v>5</v>
      </c>
      <c r="J66" s="5">
        <f t="shared" si="3"/>
        <v>8</v>
      </c>
      <c r="L66" s="2">
        <v>19</v>
      </c>
      <c r="M66" s="2">
        <v>9</v>
      </c>
      <c r="N66" s="2">
        <v>10</v>
      </c>
      <c r="O66" s="2" t="s">
        <v>5</v>
      </c>
      <c r="P66" s="5">
        <f t="shared" si="2"/>
        <v>7.0710678118654755</v>
      </c>
    </row>
    <row r="67" spans="1:16" x14ac:dyDescent="0.3">
      <c r="A67" s="2">
        <v>19</v>
      </c>
      <c r="B67" s="2">
        <v>9</v>
      </c>
      <c r="C67" s="2">
        <v>10</v>
      </c>
      <c r="D67" s="2" t="s">
        <v>5</v>
      </c>
      <c r="F67" s="2">
        <v>1</v>
      </c>
      <c r="G67" s="2">
        <v>1</v>
      </c>
      <c r="H67" s="2">
        <v>1</v>
      </c>
      <c r="I67" s="2" t="s">
        <v>4</v>
      </c>
      <c r="J67" s="5">
        <f t="shared" si="3"/>
        <v>9</v>
      </c>
      <c r="L67" s="2">
        <v>20</v>
      </c>
      <c r="M67" s="2">
        <v>10</v>
      </c>
      <c r="N67" s="2">
        <v>10</v>
      </c>
      <c r="O67" s="2" t="s">
        <v>4</v>
      </c>
      <c r="P67" s="5">
        <f t="shared" si="2"/>
        <v>7.810249675906654</v>
      </c>
    </row>
    <row r="68" spans="1:16" x14ac:dyDescent="0.3">
      <c r="A68" s="2">
        <v>20</v>
      </c>
      <c r="B68" s="2">
        <v>10</v>
      </c>
      <c r="C68" s="2">
        <v>10</v>
      </c>
      <c r="D68" s="2" t="s">
        <v>4</v>
      </c>
      <c r="F68" s="2">
        <v>20</v>
      </c>
      <c r="G68" s="2">
        <v>10</v>
      </c>
      <c r="H68" s="2">
        <v>10</v>
      </c>
      <c r="I68" s="2" t="s">
        <v>4</v>
      </c>
      <c r="J68" s="5">
        <f t="shared" si="3"/>
        <v>9</v>
      </c>
    </row>
  </sheetData>
  <sortState xmlns:xlrd2="http://schemas.microsoft.com/office/spreadsheetml/2017/richdata2" ref="AI3:AM22">
    <sortCondition ref="AM3:AM22"/>
  </sortState>
  <mergeCells count="7">
    <mergeCell ref="N8:S9"/>
    <mergeCell ref="U3:X3"/>
    <mergeCell ref="L45:O46"/>
    <mergeCell ref="D2:H2"/>
    <mergeCell ref="D5:E5"/>
    <mergeCell ref="D6:I7"/>
    <mergeCell ref="K2:O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aditya fajar shidiq</cp:lastModifiedBy>
  <cp:lastPrinted>2026-04-21T06:24:42Z</cp:lastPrinted>
  <dcterms:created xsi:type="dcterms:W3CDTF">2025-03-25T06:11:06Z</dcterms:created>
  <dcterms:modified xsi:type="dcterms:W3CDTF">2026-04-21T06:29:50Z</dcterms:modified>
</cp:coreProperties>
</file>